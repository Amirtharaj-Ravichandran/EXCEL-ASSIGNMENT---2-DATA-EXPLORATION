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accccc5338ac370/Desktop/ENTRI COURSE/EXCEL/ANSSIGNMENTS/ASSIGNMENT 2/"/>
    </mc:Choice>
  </mc:AlternateContent>
  <xr:revisionPtr revIDLastSave="18" documentId="13_ncr:1_{A8A56EBD-967E-4D09-98D5-04F4A7691EC7}" xr6:coauthVersionLast="47" xr6:coauthVersionMax="47" xr10:uidLastSave="{D97A69A0-15C9-4D37-BA30-D2672E99DBA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U26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  <c r="U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V19" i="2"/>
  <c r="S1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S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<sst xmlns="http://schemas.openxmlformats.org/spreadsheetml/2006/main" count="223" uniqueCount="145">
  <si>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</si>
  <si>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</si>
  <si>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</si>
  <si>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</si>
  <si>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</si>
  <si>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</si>
  <si>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</si>
  <si>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</si>
  <si>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</si>
  <si>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</si>
  <si>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</si>
  <si>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</si>
  <si>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</si>
  <si>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</si>
  <si>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</si>
  <si>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</si>
  <si>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</si>
  <si>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</si>
  <si>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</si>
  <si>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</si>
  <si>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</si>
  <si>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</si>
  <si>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</si>
  <si>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</si>
  <si>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</si>
  <si>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</si>
  <si>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</si>
  <si>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</si>
  <si>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</si>
  <si>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</si>
  <si>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</si>
  <si>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</si>
  <si>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</si>
  <si>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</si>
  <si>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</si>
  <si>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</si>
  <si>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</si>
  <si>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</si>
  <si>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</si>
  <si>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</si>
  <si>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</si>
  <si>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</si>
  <si>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</si>
  <si>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</si>
  <si>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</si>
  <si>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</si>
  <si>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</si>
  <si>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</si>
  <si>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</si>
  <si>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</si>
  <si>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</si>
  <si>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</si>
  <si>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</si>
  <si>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</si>
  <si>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</si>
  <si>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</si>
  <si>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</si>
  <si>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</si>
  <si>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</si>
  <si>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</si>
  <si>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</si>
  <si>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</si>
  <si>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</si>
  <si>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</si>
  <si>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</si>
  <si>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</si>
  <si>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</si>
  <si>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</si>
  <si>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</si>
  <si>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</si>
  <si>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</si>
  <si>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</si>
  <si>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</si>
  <si>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</si>
  <si>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</si>
  <si>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</si>
  <si>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</si>
  <si>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</si>
  <si>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</si>
  <si>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</si>
  <si>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</si>
  <si>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</si>
  <si>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</si>
  <si>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</si>
  <si>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</si>
  <si>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</si>
  <si>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</si>
  <si>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</si>
  <si>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</si>
  <si>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</si>
  <si>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</si>
  <si>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</si>
  <si>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</si>
  <si>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</si>
  <si>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</si>
  <si>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</si>
  <si>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</si>
  <si>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</si>
  <si>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</si>
  <si>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</si>
  <si>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</si>
  <si>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</si>
  <si>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</si>
  <si>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</si>
  <si>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</si>
  <si>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</si>
  <si>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</si>
  <si>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</si>
  <si>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</si>
  <si>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</si>
  <si>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</si>
  <si>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</si>
  <si>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?</t>
  </si>
  <si>
    <t>Ans</t>
  </si>
  <si>
    <t>Answer worked out in E Column</t>
  </si>
  <si>
    <t>Categories are imputed based on the products and features Ex: Adidas = It was a Fashion Wear</t>
  </si>
  <si>
    <t>Correcting Inconsistent Data:</t>
  </si>
  <si>
    <t>laptop</t>
  </si>
  <si>
    <t>Electroni</t>
  </si>
  <si>
    <t>Use the find and replace function to standardize the text formats in the "Product Name" column and fix any typos or misspellings in the "Category" column.</t>
  </si>
  <si>
    <t>Products Name Modified using "Proper" Formula. In Category Electroni replaced to Electronics</t>
  </si>
  <si>
    <t>Dupications removed by using "Product ID" Column</t>
  </si>
  <si>
    <t>Removing Duplicates:</t>
  </si>
  <si>
    <t>Manufacturing Date</t>
  </si>
  <si>
    <t>Country Code</t>
  </si>
  <si>
    <t>Splitting and Merging Data:</t>
  </si>
  <si>
    <t xml:space="preserve"> Split the "Product ID" column into two separate columns for " Manufacturing Date" and "Country Code". Remove unnecessary characters, if any.</t>
  </si>
  <si>
    <t>Merge the "Brand Name" and "Product Name" columns into one column named "Product Brand".</t>
  </si>
  <si>
    <t>Product Brand</t>
  </si>
  <si>
    <t>Number Formatting</t>
  </si>
  <si>
    <t xml:space="preserve"> Format the data type of the "Price" column to currency format</t>
  </si>
  <si>
    <t>Missing Value Q 1</t>
  </si>
  <si>
    <t>Price</t>
  </si>
  <si>
    <t>Format the "Manufacturing Date" column to display dates in the "DD-MM-YYYY " format</t>
  </si>
  <si>
    <t>Date</t>
  </si>
  <si>
    <t>DD-MM-YYYY</t>
  </si>
  <si>
    <t xml:space="preserve"> Conditional Formatting</t>
  </si>
  <si>
    <t>Apply data bar or color scales conditional formatting in the "Price" column.</t>
  </si>
  <si>
    <t>Create a custom rule for conditional formatting in the "Category" column to highlight cells where the category is "Electronics."</t>
  </si>
  <si>
    <t>Handling Missing Values</t>
  </si>
  <si>
    <t xml:space="preserve"> Identify any duplicate rows within the dataset based on the entirety of each row, and remove them if any.</t>
  </si>
  <si>
    <t>Check for missing values in the 'Price' column. How would you handle products with missing price information?</t>
  </si>
  <si>
    <t>If there are products with missing categories, propose a strategy to impute or deal with these missing values effectively.</t>
  </si>
  <si>
    <t>Identify any inconsistent text formats present in the "Product Name" column.</t>
  </si>
  <si>
    <t>Identify any typos present in the "Category"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</si>
</sst>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8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1"/>
      <color rgb="FF000000"/>
      <name val="Times New Roman"/>
      <family val="1"/>
    </font>
    <font>
      <b/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5" fillId="3" borderId="8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5" borderId="8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1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64" fontId="11" fillId="5" borderId="1" xfId="0" applyNumberFormat="1" applyFont="1" applyFill="1" applyBorder="1" applyAlignment="1">
      <alignment horizontal="center"/>
    </xf>
    <xf numFmtId="16" fontId="1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0/relationships/richValueRel" Target="richData/richValueRel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224117</xdr:colOff>
      <xdr:row>1</xdr:row>
      <xdr:rowOff>8965</xdr:rowOff>
    </xdr:from>
    <xdr:to>
      <xdr:col>28</xdr:col>
      <xdr:colOff>89199</xdr:colOff>
      <xdr:row>10</xdr:row>
      <xdr:rowOff>138953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C5B8FD-F717-B1C7-C6AC-64F6B70F0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95341" y="430306"/>
          <a:ext cx="5082540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134471</xdr:colOff>
      <xdr:row>10</xdr:row>
      <xdr:rowOff>259977</xdr:rowOff>
    </xdr:from>
    <xdr:to>
      <xdr:col>28</xdr:col>
      <xdr:colOff>685353</xdr:colOff>
      <xdr:row>39</xdr:row>
      <xdr:rowOff>182432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6C2504-75B9-ECA2-AD04-C67175BF5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5695" y="2456330"/>
          <a:ext cx="5768340" cy="58750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B3FC8-7D40-4E96-A17A-DE009F58B6C3}" name="Table1" displayName="Table1" ref="A1:K32" totalsRowShown="0" headerRowDxfId="19" dataDxfId="17" headerRowBorderDxfId="18" tableBorderDxfId="16" totalsRowBorderDxfId="15">
  <tableColumns count="11">
    <tableColumn id="1" xr3:uid="{1B97CE01-ED89-4803-BE7F-4B5492C8A7BB}" name="Product ID" dataDxfId="14"/>
    <tableColumn id="11" xr3:uid="{E89C1D10-6455-4D69-AD67-BE0B105FDD47}" name="Date" dataDxfId="13">
      <calculatedColumnFormula>TEXT(DATE(YEAR(TODAY()),MONTH(DATEVALUE("1-"&amp;MID(A2,4,3))),LEFT(A2,2)),"DD-MM-YYYY")</calculatedColumnFormula>
    </tableColumn>
    <tableColumn id="7" xr3:uid="{B4400C6C-F555-44C1-80C1-0B69431D2FFF}" name="Manufacturing Date" dataDxfId="12">
      <calculatedColumnFormula>LEFT(Table1[[#This Row],[Product ID]],"2")</calculatedColumnFormula>
    </tableColumn>
    <tableColumn id="9" xr3:uid="{0BBF13FF-FDEF-4F1A-B8B9-B63FCE0D07E8}" name="Country Code" dataDxfId="11">
      <calculatedColumnFormula>RIGHT(Table1[[#This Row],[Product ID]],"2")</calculatedColumnFormula>
    </tableColumn>
    <tableColumn id="2" xr3:uid="{F1FC5BF1-4696-48E1-99A0-CA40559B9B9C}" name="Product Name" dataDxfId="10"/>
    <tableColumn id="3" xr3:uid="{121AB402-63D3-418F-B8B9-396B5067290D}" name="Brand Name" dataDxfId="9"/>
    <tableColumn id="10" xr3:uid="{7225A610-A66C-4D7F-AAE4-D4F1522037C4}" name="Product Brand" dataDxfId="8">
      <calculatedColumnFormula>_xlfn.TEXTJOIN(" ",TRUE,Table1[[#This Row],[Product Name]],Table1[[#This Row],[Brand Name]])</calculatedColumnFormula>
    </tableColumn>
    <tableColumn id="4" xr3:uid="{E916E798-FF45-4E0B-A8B5-7E8E73909DA9}" name="Price ($)" dataDxfId="7"/>
    <tableColumn id="8" xr3:uid="{98679D0F-DB8D-4F6A-82DA-F890502F4F52}" name="Missing Value Q 1" dataDxfId="6">
      <calculatedColumnFormula>IF(ISBLANK(Table1[[#This Row],[Price ($)]]),AVERAGE(Table1[Price ($)]),Table1[[#This Row],[Price ($)]])</calculatedColumnFormula>
    </tableColumn>
    <tableColumn id="5" xr3:uid="{D394E775-3C19-4DC3-8CB0-02105ACD3D84}" name="Quantity" dataDxfId="5"/>
    <tableColumn id="6" xr3:uid="{A1937EB7-4ED8-4726-AB58-9126C55A5A65}" name="Categor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97"/>
  <sheetViews>
    <sheetView tabSelected="1" topLeftCell="M8" zoomScale="85" zoomScaleNormal="85" workbookViewId="0">
      <selection activeCell="V34" sqref="V34"/>
    </sheetView>
  </sheetViews>
  <sheetFormatPr defaultColWidth="12.6640625" defaultRowHeight="15" customHeight="1" x14ac:dyDescent="0.25"/>
  <cols>
    <col min="1" max="1" width="14.77734375" customWidth="1"/>
    <col min="2" max="2" width="18.6640625" customWidth="1"/>
    <col min="3" max="3" width="15.33203125" customWidth="1"/>
    <col min="4" max="4" width="10.109375" customWidth="1"/>
    <col min="5" max="5" width="15.33203125" customWidth="1"/>
    <col min="6" max="6" width="13.6640625" customWidth="1"/>
    <col min="7" max="7" width="21.5546875" bestFit="1" customWidth="1"/>
    <col min="8" max="8" width="12.6640625" customWidth="1"/>
    <col min="9" max="9" width="13" customWidth="1"/>
    <col min="10" max="11" width="12.6640625" customWidth="1"/>
    <col min="15" max="15" width="14" customWidth="1"/>
    <col min="18" max="18" width="12.44140625" customWidth="1"/>
    <col min="19" max="19" width="12" customWidth="1"/>
    <col min="20" max="20" width="10.5546875" customWidth="1"/>
    <col min="21" max="21" width="18" customWidth="1"/>
    <col min="22" max="22" width="12" customWidth="1"/>
  </cols>
  <sheetData>
    <row r="1" spans="1:22" ht="33" customHeight="1" x14ac:dyDescent="0.3">
      <c r="A1" s="7" t="s">
        <v>19</v>
      </c>
      <c r="B1" s="27" t="s">
        <v>134</v>
      </c>
      <c r="C1" s="26" t="s">
        <v>123</v>
      </c>
      <c r="D1" s="26" t="s">
        <v>124</v>
      </c>
      <c r="E1" s="8" t="s">
        <v>20</v>
      </c>
      <c r="F1" s="8" t="s">
        <v>21</v>
      </c>
      <c r="G1" s="27" t="s">
        <v>128</v>
      </c>
      <c r="H1" s="8" t="s">
        <v>22</v>
      </c>
      <c r="I1" s="26" t="s">
        <v>131</v>
      </c>
      <c r="J1" s="8" t="s">
        <v>23</v>
      </c>
      <c r="K1" s="9" t="s">
        <v>24</v>
      </c>
      <c r="N1" s="36" t="s">
        <v>139</v>
      </c>
      <c r="O1" s="36"/>
      <c r="P1" s="36"/>
      <c r="Q1" s="36"/>
      <c r="R1" s="36"/>
      <c r="S1" s="36"/>
      <c r="T1" s="36"/>
      <c r="U1" s="36"/>
      <c r="V1" s="36"/>
    </row>
    <row r="2" spans="1:22" ht="15.75" customHeight="1" x14ac:dyDescent="0.25">
      <c r="A2" s="10" t="s">
        <v>25</v>
      </c>
      <c r="B2" s="22" t="str">
        <f ca="1">TEXT(DATE(YEAR(TODAY()),MONTH(DATEVALUE("1-"&amp;MID(A2,4,3))),LEFT(A2,2)),"DD-MM-YYYY")</f>
        <v>28-01-2026</v>
      </c>
      <c r="C2" s="22" t="str">
        <f>LEFT(Table1[[#This Row],[Product ID]],"2")</f>
        <v>28</v>
      </c>
      <c r="D2" s="22" t="str">
        <f>RIGHT(Table1[[#This Row],[Product ID]],"2")</f>
        <v>US</v>
      </c>
      <c r="E2" s="19" t="s">
        <v>57</v>
      </c>
      <c r="F2" s="19" t="s">
        <v>26</v>
      </c>
      <c r="G2" s="20" t="str">
        <f>_xlfn.TEXTJOIN(" ",TRUE,Table1[[#This Row],[Product Name]],Table1[[#This Row],[Brand Name]])</f>
        <v>Laptop Dell</v>
      </c>
      <c r="H2" s="16">
        <v>1000</v>
      </c>
      <c r="I2" s="20">
        <f>IF(ISBLANK(Table1[[#This Row],[Price ($)]]),AVERAGE(Table1[Price ($)]),Table1[[#This Row],[Price ($)]])</f>
        <v>1000</v>
      </c>
      <c r="J2" s="11">
        <v>30</v>
      </c>
      <c r="K2" s="28" t="s">
        <v>27</v>
      </c>
      <c r="N2" s="31" t="s">
        <v>112</v>
      </c>
      <c r="O2" s="38" t="s">
        <v>141</v>
      </c>
      <c r="P2" s="38"/>
      <c r="Q2" s="38"/>
      <c r="R2" s="38"/>
      <c r="S2" s="38"/>
      <c r="T2" s="38"/>
      <c r="U2" s="38"/>
      <c r="V2" s="38"/>
    </row>
    <row r="3" spans="1:22" ht="15.75" customHeight="1" x14ac:dyDescent="0.25">
      <c r="A3" s="12" t="s">
        <v>28</v>
      </c>
      <c r="B3" s="22" t="str">
        <f t="shared" ref="B3:B32" ca="1" si="0">TEXT(DATE(YEAR(TODAY()),MONTH(DATEVALUE("1-"&amp;MID(A3,4,3))),LEFT(A3,2)),"DD-MM-YYYY")</f>
        <v>15-02-2026</v>
      </c>
      <c r="C3" s="22" t="str">
        <f>LEFT(Table1[[#This Row],[Product ID]],"2")</f>
        <v>15</v>
      </c>
      <c r="D3" s="22" t="str">
        <f>RIGHT(Table1[[#This Row],[Product ID]],"2")</f>
        <v>US</v>
      </c>
      <c r="E3" s="24" t="s">
        <v>29</v>
      </c>
      <c r="F3" s="24" t="s">
        <v>30</v>
      </c>
      <c r="G3" s="20" t="str">
        <f>_xlfn.TEXTJOIN(" ",TRUE,Table1[[#This Row],[Product Name]],Table1[[#This Row],[Brand Name]])</f>
        <v>Sneakers Nike</v>
      </c>
      <c r="H3" s="17">
        <v>80</v>
      </c>
      <c r="I3" s="20">
        <f>IF(ISBLANK(Table1[[#This Row],[Price ($)]]),AVERAGE(Table1[Price ($)]),Table1[[#This Row],[Price ($)]])</f>
        <v>80</v>
      </c>
      <c r="J3" s="13">
        <v>15</v>
      </c>
      <c r="K3" s="29" t="s">
        <v>31</v>
      </c>
      <c r="L3" s="5"/>
      <c r="N3" s="32" t="s">
        <v>113</v>
      </c>
      <c r="O3" s="37" t="s">
        <v>114</v>
      </c>
      <c r="P3" s="37"/>
      <c r="Q3" s="37"/>
      <c r="R3" s="37"/>
      <c r="S3" s="37"/>
      <c r="T3" s="37"/>
      <c r="U3" s="37"/>
      <c r="V3" s="37"/>
    </row>
    <row r="4" spans="1:22" ht="15.75" customHeight="1" x14ac:dyDescent="0.25">
      <c r="A4" s="10" t="s">
        <v>32</v>
      </c>
      <c r="B4" s="22" t="str">
        <f t="shared" ca="1" si="0"/>
        <v>03-03-2026</v>
      </c>
      <c r="C4" s="22" t="str">
        <f>LEFT(Table1[[#This Row],[Product ID]],"2")</f>
        <v>03</v>
      </c>
      <c r="D4" s="22" t="str">
        <f>RIGHT(Table1[[#This Row],[Product ID]],"2")</f>
        <v>US</v>
      </c>
      <c r="E4" s="19" t="s">
        <v>33</v>
      </c>
      <c r="F4" s="19" t="s">
        <v>34</v>
      </c>
      <c r="G4" s="20" t="str">
        <f>_xlfn.TEXTJOIN(" ",TRUE,Table1[[#This Row],[Product Name]],Table1[[#This Row],[Brand Name]])</f>
        <v>Coffee Maker Keurig</v>
      </c>
      <c r="H4" s="16">
        <v>130</v>
      </c>
      <c r="I4" s="20">
        <f>IF(ISBLANK(Table1[[#This Row],[Price ($)]]),AVERAGE(Table1[Price ($)]),Table1[[#This Row],[Price ($)]])</f>
        <v>130</v>
      </c>
      <c r="J4" s="11">
        <v>40</v>
      </c>
      <c r="K4" s="28" t="s">
        <v>35</v>
      </c>
      <c r="L4" s="5"/>
      <c r="N4" s="31" t="s">
        <v>112</v>
      </c>
      <c r="O4" s="38" t="s">
        <v>142</v>
      </c>
      <c r="P4" s="38"/>
      <c r="Q4" s="38"/>
      <c r="R4" s="38"/>
      <c r="S4" s="38"/>
      <c r="T4" s="38"/>
      <c r="U4" s="38"/>
      <c r="V4" s="38"/>
    </row>
    <row r="5" spans="1:22" ht="15.75" customHeight="1" x14ac:dyDescent="0.25">
      <c r="A5" s="12" t="s">
        <v>36</v>
      </c>
      <c r="B5" s="22" t="str">
        <f t="shared" ca="1" si="0"/>
        <v>11-04-2026</v>
      </c>
      <c r="C5" s="22" t="str">
        <f>LEFT(Table1[[#This Row],[Product ID]],"2")</f>
        <v>11</v>
      </c>
      <c r="D5" s="22" t="str">
        <f>RIGHT(Table1[[#This Row],[Product ID]],"2")</f>
        <v>US</v>
      </c>
      <c r="E5" s="24" t="s">
        <v>91</v>
      </c>
      <c r="F5" s="24" t="s">
        <v>37</v>
      </c>
      <c r="G5" s="20" t="str">
        <f>_xlfn.TEXTJOIN(" ",TRUE,Table1[[#This Row],[Product Name]],Table1[[#This Row],[Brand Name]])</f>
        <v>Smartphone Samsung</v>
      </c>
      <c r="H5" s="17">
        <v>900</v>
      </c>
      <c r="I5" s="20">
        <f>IF(ISBLANK(Table1[[#This Row],[Price ($)]]),AVERAGE(Table1[Price ($)]),Table1[[#This Row],[Price ($)]])</f>
        <v>900</v>
      </c>
      <c r="J5" s="13">
        <v>25</v>
      </c>
      <c r="K5" s="28" t="s">
        <v>27</v>
      </c>
      <c r="L5" s="5"/>
      <c r="N5" s="32" t="s">
        <v>113</v>
      </c>
      <c r="O5" s="37" t="s">
        <v>115</v>
      </c>
      <c r="P5" s="37"/>
      <c r="Q5" s="37"/>
      <c r="R5" s="37"/>
      <c r="S5" s="37"/>
      <c r="T5" s="37"/>
      <c r="U5" s="37"/>
      <c r="V5" s="37"/>
    </row>
    <row r="6" spans="1:22" ht="15.6" customHeight="1" x14ac:dyDescent="0.3">
      <c r="A6" s="10" t="s">
        <v>38</v>
      </c>
      <c r="B6" s="22" t="str">
        <f t="shared" ca="1" si="0"/>
        <v>22-05-2026</v>
      </c>
      <c r="C6" s="22" t="str">
        <f>LEFT(Table1[[#This Row],[Product ID]],"2")</f>
        <v>22</v>
      </c>
      <c r="D6" s="22" t="str">
        <f>RIGHT(Table1[[#This Row],[Product ID]],"2")</f>
        <v>US</v>
      </c>
      <c r="E6" s="19" t="s">
        <v>39</v>
      </c>
      <c r="F6" s="19" t="s">
        <v>40</v>
      </c>
      <c r="G6" s="20" t="str">
        <f>_xlfn.TEXTJOIN(" ",TRUE,Table1[[#This Row],[Product Name]],Table1[[#This Row],[Brand Name]])</f>
        <v>Backpack North Face</v>
      </c>
      <c r="H6" s="16">
        <v>70</v>
      </c>
      <c r="I6" s="20">
        <f>IF(ISBLANK(Table1[[#This Row],[Price ($)]]),AVERAGE(Table1[Price ($)]),Table1[[#This Row],[Price ($)]])</f>
        <v>70</v>
      </c>
      <c r="J6" s="11">
        <v>20</v>
      </c>
      <c r="K6" s="28" t="s">
        <v>31</v>
      </c>
      <c r="N6" s="40" t="s">
        <v>116</v>
      </c>
      <c r="O6" s="40"/>
      <c r="P6" s="40"/>
      <c r="Q6" s="40"/>
      <c r="R6" s="40"/>
      <c r="S6" s="40"/>
      <c r="T6" s="40"/>
      <c r="U6" s="40"/>
      <c r="V6" s="40"/>
    </row>
    <row r="7" spans="1:22" ht="15.75" customHeight="1" x14ac:dyDescent="0.25">
      <c r="A7" s="12" t="s">
        <v>41</v>
      </c>
      <c r="B7" s="22" t="str">
        <f t="shared" ca="1" si="0"/>
        <v>07-06-2026</v>
      </c>
      <c r="C7" s="22" t="str">
        <f>LEFT(Table1[[#This Row],[Product ID]],"2")</f>
        <v>07</v>
      </c>
      <c r="D7" s="22" t="str">
        <f>RIGHT(Table1[[#This Row],[Product ID]],"2")</f>
        <v>UK</v>
      </c>
      <c r="E7" s="24" t="s">
        <v>42</v>
      </c>
      <c r="F7" s="24" t="s">
        <v>43</v>
      </c>
      <c r="G7" s="20" t="str">
        <f>_xlfn.TEXTJOIN(" ",TRUE,Table1[[#This Row],[Product Name]],Table1[[#This Row],[Brand Name]])</f>
        <v>Headphones Sony</v>
      </c>
      <c r="H7" s="17">
        <v>297.85714285714283</v>
      </c>
      <c r="I7" s="20">
        <f>IF(ISBLANK(Table1[[#This Row],[Price ($)]]),AVERAGE(Table1[Price ($)]),Table1[[#This Row],[Price ($)]])</f>
        <v>297.85714285714283</v>
      </c>
      <c r="J7" s="13">
        <v>45</v>
      </c>
      <c r="K7" s="28" t="s">
        <v>27</v>
      </c>
      <c r="N7" s="31" t="s">
        <v>112</v>
      </c>
      <c r="O7" s="41" t="s">
        <v>143</v>
      </c>
      <c r="P7" s="41"/>
      <c r="Q7" s="41"/>
      <c r="R7" s="41"/>
      <c r="S7" s="41"/>
      <c r="T7" s="41"/>
      <c r="U7" s="41"/>
      <c r="V7" s="41"/>
    </row>
    <row r="8" spans="1:22" ht="15.75" customHeight="1" x14ac:dyDescent="0.25">
      <c r="A8" s="10" t="s">
        <v>44</v>
      </c>
      <c r="B8" s="22" t="str">
        <f t="shared" ca="1" si="0"/>
        <v>19-07-2026</v>
      </c>
      <c r="C8" s="22" t="str">
        <f>LEFT(Table1[[#This Row],[Product ID]],"2")</f>
        <v>19</v>
      </c>
      <c r="D8" s="22" t="str">
        <f>RIGHT(Table1[[#This Row],[Product ID]],"2")</f>
        <v>UK</v>
      </c>
      <c r="E8" s="19" t="s">
        <v>111</v>
      </c>
      <c r="F8" s="19" t="s">
        <v>45</v>
      </c>
      <c r="G8" s="20" t="str">
        <f>_xlfn.TEXTJOIN(" ",TRUE,Table1[[#This Row],[Product Name]],Table1[[#This Row],[Brand Name]])</f>
        <v>T-Shirt Adidas</v>
      </c>
      <c r="H8" s="16">
        <v>30</v>
      </c>
      <c r="I8" s="20">
        <f>IF(ISBLANK(Table1[[#This Row],[Price ($)]]),AVERAGE(Table1[Price ($)]),Table1[[#This Row],[Price ($)]])</f>
        <v>30</v>
      </c>
      <c r="J8" s="11">
        <v>5</v>
      </c>
      <c r="K8" s="28" t="s">
        <v>31</v>
      </c>
      <c r="N8" s="32" t="s">
        <v>113</v>
      </c>
      <c r="O8" s="39" t="s">
        <v>117</v>
      </c>
      <c r="P8" s="39"/>
      <c r="Q8" s="39"/>
      <c r="R8" s="39"/>
      <c r="S8" s="39" t="str">
        <f>PROPER(E2)</f>
        <v>Laptop</v>
      </c>
      <c r="T8" s="39"/>
      <c r="U8" s="39"/>
      <c r="V8" s="39"/>
    </row>
    <row r="9" spans="1:22" ht="15.75" customHeight="1" x14ac:dyDescent="0.25">
      <c r="A9" s="12" t="s">
        <v>46</v>
      </c>
      <c r="B9" s="22" t="str">
        <f t="shared" ca="1" si="0"/>
        <v>23-08-2026</v>
      </c>
      <c r="C9" s="22" t="str">
        <f>LEFT(Table1[[#This Row],[Product ID]],"2")</f>
        <v>23</v>
      </c>
      <c r="D9" s="22" t="str">
        <f>RIGHT(Table1[[#This Row],[Product ID]],"2")</f>
        <v>UK</v>
      </c>
      <c r="E9" s="24" t="s">
        <v>47</v>
      </c>
      <c r="F9" s="24" t="s">
        <v>48</v>
      </c>
      <c r="G9" s="20" t="str">
        <f>_xlfn.TEXTJOIN(" ",TRUE,Table1[[#This Row],[Product Name]],Table1[[#This Row],[Brand Name]])</f>
        <v>Blender Ninja</v>
      </c>
      <c r="H9" s="17">
        <v>90</v>
      </c>
      <c r="I9" s="20">
        <f>IF(ISBLANK(Table1[[#This Row],[Price ($)]]),AVERAGE(Table1[Price ($)]),Table1[[#This Row],[Price ($)]])</f>
        <v>90</v>
      </c>
      <c r="J9" s="13">
        <v>35</v>
      </c>
      <c r="K9" s="29" t="s">
        <v>35</v>
      </c>
      <c r="N9" s="31" t="s">
        <v>112</v>
      </c>
      <c r="O9" s="38" t="s">
        <v>144</v>
      </c>
      <c r="P9" s="38"/>
      <c r="Q9" s="38"/>
      <c r="R9" s="38"/>
      <c r="S9" s="38"/>
      <c r="T9" s="38"/>
      <c r="U9" s="38"/>
      <c r="V9" s="38"/>
    </row>
    <row r="10" spans="1:22" ht="15.75" customHeight="1" x14ac:dyDescent="0.25">
      <c r="A10" s="10" t="s">
        <v>49</v>
      </c>
      <c r="B10" s="22" t="str">
        <f t="shared" ca="1" si="0"/>
        <v>05-09-2026</v>
      </c>
      <c r="C10" s="22" t="str">
        <f>LEFT(Table1[[#This Row],[Product ID]],"2")</f>
        <v>05</v>
      </c>
      <c r="D10" s="22" t="str">
        <f>RIGHT(Table1[[#This Row],[Product ID]],"2")</f>
        <v>UK</v>
      </c>
      <c r="E10" s="19" t="s">
        <v>50</v>
      </c>
      <c r="F10" s="19" t="s">
        <v>51</v>
      </c>
      <c r="G10" s="20" t="str">
        <f>_xlfn.TEXTJOIN(" ",TRUE,Table1[[#This Row],[Product Name]],Table1[[#This Row],[Brand Name]])</f>
        <v>Tablet Apple</v>
      </c>
      <c r="H10" s="16">
        <v>500</v>
      </c>
      <c r="I10" s="20">
        <f>IF(ISBLANK(Table1[[#This Row],[Price ($)]]),AVERAGE(Table1[Price ($)]),Table1[[#This Row],[Price ($)]])</f>
        <v>500</v>
      </c>
      <c r="J10" s="11">
        <v>50</v>
      </c>
      <c r="K10" s="28" t="s">
        <v>27</v>
      </c>
      <c r="N10" s="32" t="s">
        <v>113</v>
      </c>
      <c r="O10" s="39" t="s">
        <v>118</v>
      </c>
      <c r="P10" s="39"/>
      <c r="Q10" s="39"/>
      <c r="R10" s="39"/>
      <c r="S10" s="39" t="s">
        <v>27</v>
      </c>
      <c r="T10" s="39"/>
      <c r="U10" s="39"/>
      <c r="V10" s="39"/>
    </row>
    <row r="11" spans="1:22" ht="24.6" customHeight="1" x14ac:dyDescent="0.25">
      <c r="A11" s="12" t="s">
        <v>52</v>
      </c>
      <c r="B11" s="22" t="str">
        <f t="shared" ca="1" si="0"/>
        <v>14-10-2026</v>
      </c>
      <c r="C11" s="22" t="str">
        <f>LEFT(Table1[[#This Row],[Product ID]],"2")</f>
        <v>14</v>
      </c>
      <c r="D11" s="22" t="str">
        <f>RIGHT(Table1[[#This Row],[Product ID]],"2")</f>
        <v>UK</v>
      </c>
      <c r="E11" s="24" t="s">
        <v>53</v>
      </c>
      <c r="F11" s="24" t="s">
        <v>54</v>
      </c>
      <c r="G11" s="20" t="str">
        <f>_xlfn.TEXTJOIN(" ",TRUE,Table1[[#This Row],[Product Name]],Table1[[#This Row],[Brand Name]])</f>
        <v>Hiking Boots Timberland</v>
      </c>
      <c r="H11" s="17">
        <v>130</v>
      </c>
      <c r="I11" s="20">
        <f>IF(ISBLANK(Table1[[#This Row],[Price ($)]]),AVERAGE(Table1[Price ($)]),Table1[[#This Row],[Price ($)]])</f>
        <v>130</v>
      </c>
      <c r="J11" s="13">
        <v>10</v>
      </c>
      <c r="K11" s="29" t="s">
        <v>55</v>
      </c>
      <c r="N11" s="31" t="s">
        <v>112</v>
      </c>
      <c r="O11" s="44" t="s">
        <v>119</v>
      </c>
      <c r="P11" s="44"/>
      <c r="Q11" s="44"/>
      <c r="R11" s="44"/>
      <c r="S11" s="44"/>
      <c r="T11" s="44"/>
      <c r="U11" s="44"/>
      <c r="V11" s="44"/>
    </row>
    <row r="12" spans="1:22" ht="15.75" customHeight="1" x14ac:dyDescent="0.25">
      <c r="A12" s="10" t="s">
        <v>56</v>
      </c>
      <c r="B12" s="22" t="str">
        <f t="shared" ca="1" si="0"/>
        <v>17-06-2026</v>
      </c>
      <c r="C12" s="22" t="str">
        <f>LEFT(Table1[[#This Row],[Product ID]],"2")</f>
        <v>17</v>
      </c>
      <c r="D12" s="22" t="str">
        <f>RIGHT(Table1[[#This Row],[Product ID]],"2")</f>
        <v>IN</v>
      </c>
      <c r="E12" s="19" t="s">
        <v>57</v>
      </c>
      <c r="F12" s="19" t="s">
        <v>58</v>
      </c>
      <c r="G12" s="20" t="str">
        <f>_xlfn.TEXTJOIN(" ",TRUE,Table1[[#This Row],[Product Name]],Table1[[#This Row],[Brand Name]])</f>
        <v>Laptop HP</v>
      </c>
      <c r="H12" s="16">
        <v>950</v>
      </c>
      <c r="I12" s="20">
        <f>IF(ISBLANK(Table1[[#This Row],[Price ($)]]),AVERAGE(Table1[Price ($)]),Table1[[#This Row],[Price ($)]])</f>
        <v>950</v>
      </c>
      <c r="J12" s="11">
        <v>25</v>
      </c>
      <c r="K12" s="28" t="s">
        <v>27</v>
      </c>
      <c r="N12" s="32" t="s">
        <v>113</v>
      </c>
      <c r="O12" s="39" t="s">
        <v>120</v>
      </c>
      <c r="P12" s="39"/>
      <c r="Q12" s="39"/>
      <c r="R12" s="39"/>
      <c r="S12" s="39"/>
      <c r="T12" s="39"/>
      <c r="U12" s="39"/>
      <c r="V12" s="33" t="e" vm="1">
        <v>#VALUE!</v>
      </c>
    </row>
    <row r="13" spans="1:22" ht="15.75" customHeight="1" x14ac:dyDescent="0.3">
      <c r="A13" s="12" t="s">
        <v>59</v>
      </c>
      <c r="B13" s="22" t="str">
        <f t="shared" ca="1" si="0"/>
        <v>25-11-2026</v>
      </c>
      <c r="C13" s="22" t="str">
        <f>LEFT(Table1[[#This Row],[Product ID]],"2")</f>
        <v>25</v>
      </c>
      <c r="D13" s="22" t="str">
        <f>RIGHT(Table1[[#This Row],[Product ID]],"2")</f>
        <v>AU</v>
      </c>
      <c r="E13" s="24" t="s">
        <v>29</v>
      </c>
      <c r="F13" s="24" t="s">
        <v>45</v>
      </c>
      <c r="G13" s="20" t="str">
        <f>_xlfn.TEXTJOIN(" ",TRUE,Table1[[#This Row],[Product Name]],Table1[[#This Row],[Brand Name]])</f>
        <v>Sneakers Adidas</v>
      </c>
      <c r="H13" s="17">
        <v>90</v>
      </c>
      <c r="I13" s="20">
        <f>IF(ISBLANK(Table1[[#This Row],[Price ($)]]),AVERAGE(Table1[Price ($)]),Table1[[#This Row],[Price ($)]])</f>
        <v>90</v>
      </c>
      <c r="J13" s="13">
        <v>40</v>
      </c>
      <c r="K13" s="29" t="s">
        <v>31</v>
      </c>
      <c r="N13" s="45" t="s">
        <v>122</v>
      </c>
      <c r="O13" s="45"/>
      <c r="P13" s="45"/>
      <c r="Q13" s="45"/>
      <c r="R13" s="45"/>
      <c r="S13" s="45"/>
      <c r="T13" s="45"/>
      <c r="U13" s="45"/>
      <c r="V13" s="45"/>
    </row>
    <row r="14" spans="1:22" ht="15.75" customHeight="1" x14ac:dyDescent="0.25">
      <c r="A14" s="10" t="s">
        <v>60</v>
      </c>
      <c r="B14" s="22" t="str">
        <f t="shared" ca="1" si="0"/>
        <v>08-12-2026</v>
      </c>
      <c r="C14" s="22" t="str">
        <f>LEFT(Table1[[#This Row],[Product ID]],"2")</f>
        <v>08</v>
      </c>
      <c r="D14" s="22" t="str">
        <f>RIGHT(Table1[[#This Row],[Product ID]],"2")</f>
        <v>DE</v>
      </c>
      <c r="E14" s="19" t="s">
        <v>33</v>
      </c>
      <c r="F14" s="19" t="s">
        <v>61</v>
      </c>
      <c r="G14" s="20" t="str">
        <f>_xlfn.TEXTJOIN(" ",TRUE,Table1[[#This Row],[Product Name]],Table1[[#This Row],[Brand Name]])</f>
        <v>Coffee Maker Nespresso</v>
      </c>
      <c r="H14" s="16">
        <v>120</v>
      </c>
      <c r="I14" s="20">
        <f>IF(ISBLANK(Table1[[#This Row],[Price ($)]]),AVERAGE(Table1[Price ($)]),Table1[[#This Row],[Price ($)]])</f>
        <v>120</v>
      </c>
      <c r="J14" s="11">
        <v>35</v>
      </c>
      <c r="K14" s="28" t="s">
        <v>27</v>
      </c>
      <c r="N14" s="31" t="s">
        <v>112</v>
      </c>
      <c r="O14" s="38" t="s">
        <v>140</v>
      </c>
      <c r="P14" s="38"/>
      <c r="Q14" s="38"/>
      <c r="R14" s="38"/>
      <c r="S14" s="38"/>
      <c r="T14" s="38"/>
      <c r="U14" s="38"/>
      <c r="V14" s="38"/>
    </row>
    <row r="15" spans="1:22" ht="15.75" customHeight="1" x14ac:dyDescent="0.25">
      <c r="A15" s="12" t="s">
        <v>62</v>
      </c>
      <c r="B15" s="22" t="str">
        <f t="shared" ca="1" si="0"/>
        <v>18-02-2026</v>
      </c>
      <c r="C15" s="22" t="str">
        <f>LEFT(Table1[[#This Row],[Product ID]],"2")</f>
        <v>18</v>
      </c>
      <c r="D15" s="22" t="str">
        <f>RIGHT(Table1[[#This Row],[Product ID]],"2")</f>
        <v>CA</v>
      </c>
      <c r="E15" s="24" t="s">
        <v>63</v>
      </c>
      <c r="F15" s="24" t="s">
        <v>64</v>
      </c>
      <c r="G15" s="20" t="str">
        <f>_xlfn.TEXTJOIN(" ",TRUE,Table1[[#This Row],[Product Name]],Table1[[#This Row],[Brand Name]])</f>
        <v>Smartwatch Fitbit</v>
      </c>
      <c r="H15" s="17">
        <v>150</v>
      </c>
      <c r="I15" s="20">
        <f>IF(ISBLANK(Table1[[#This Row],[Price ($)]]),AVERAGE(Table1[Price ($)]),Table1[[#This Row],[Price ($)]])</f>
        <v>150</v>
      </c>
      <c r="J15" s="13">
        <v>15</v>
      </c>
      <c r="K15" s="28" t="s">
        <v>27</v>
      </c>
      <c r="N15" s="43" t="s">
        <v>113</v>
      </c>
      <c r="O15" s="47" t="e" vm="2">
        <v>#VALUE!</v>
      </c>
      <c r="P15" s="47"/>
      <c r="Q15" s="47"/>
      <c r="R15" s="47"/>
      <c r="S15" s="47"/>
      <c r="T15" s="48" t="s">
        <v>121</v>
      </c>
      <c r="U15" s="48"/>
      <c r="V15" s="48"/>
    </row>
    <row r="16" spans="1:22" ht="15.75" customHeight="1" x14ac:dyDescent="0.25">
      <c r="A16" s="10" t="s">
        <v>65</v>
      </c>
      <c r="B16" s="22" t="str">
        <f t="shared" ca="1" si="0"/>
        <v>16-04-2026</v>
      </c>
      <c r="C16" s="22" t="str">
        <f>LEFT(Table1[[#This Row],[Product ID]],"2")</f>
        <v>16</v>
      </c>
      <c r="D16" s="22" t="str">
        <f>RIGHT(Table1[[#This Row],[Product ID]],"2")</f>
        <v>ES</v>
      </c>
      <c r="E16" s="19" t="s">
        <v>42</v>
      </c>
      <c r="F16" s="19" t="s">
        <v>66</v>
      </c>
      <c r="G16" s="20" t="str">
        <f>_xlfn.TEXTJOIN(" ",TRUE,Table1[[#This Row],[Product Name]],Table1[[#This Row],[Brand Name]])</f>
        <v>Headphones Bose</v>
      </c>
      <c r="H16" s="16">
        <v>250</v>
      </c>
      <c r="I16" s="20">
        <f>IF(ISBLANK(Table1[[#This Row],[Price ($)]]),AVERAGE(Table1[Price ($)]),Table1[[#This Row],[Price ($)]])</f>
        <v>250</v>
      </c>
      <c r="J16" s="11">
        <v>20</v>
      </c>
      <c r="K16" s="28" t="s">
        <v>27</v>
      </c>
      <c r="N16" s="43"/>
      <c r="O16" s="47"/>
      <c r="P16" s="47"/>
      <c r="Q16" s="47"/>
      <c r="R16" s="47"/>
      <c r="S16" s="47"/>
      <c r="T16" s="48"/>
      <c r="U16" s="48"/>
      <c r="V16" s="48"/>
    </row>
    <row r="17" spans="1:22" ht="15.6" customHeight="1" x14ac:dyDescent="0.3">
      <c r="A17" s="12" t="s">
        <v>67</v>
      </c>
      <c r="B17" s="22" t="str">
        <f t="shared" ca="1" si="0"/>
        <v>21-08-2026</v>
      </c>
      <c r="C17" s="22" t="str">
        <f>LEFT(Table1[[#This Row],[Product ID]],"2")</f>
        <v>21</v>
      </c>
      <c r="D17" s="22" t="str">
        <f>RIGHT(Table1[[#This Row],[Product ID]],"2")</f>
        <v>CA</v>
      </c>
      <c r="E17" s="24" t="s">
        <v>68</v>
      </c>
      <c r="F17" s="24" t="s">
        <v>69</v>
      </c>
      <c r="G17" s="20" t="str">
        <f>_xlfn.TEXTJOIN(" ",TRUE,Table1[[#This Row],[Product Name]],Table1[[#This Row],[Brand Name]])</f>
        <v>Laptop Bag Samsonite</v>
      </c>
      <c r="H17" s="17">
        <v>50</v>
      </c>
      <c r="I17" s="20">
        <f>IF(ISBLANK(Table1[[#This Row],[Price ($)]]),AVERAGE(Table1[Price ($)]),Table1[[#This Row],[Price ($)]])</f>
        <v>50</v>
      </c>
      <c r="J17" s="13">
        <v>35</v>
      </c>
      <c r="K17" s="29" t="s">
        <v>70</v>
      </c>
      <c r="N17" s="45" t="s">
        <v>125</v>
      </c>
      <c r="O17" s="45"/>
      <c r="P17" s="45"/>
      <c r="Q17" s="45"/>
      <c r="R17" s="45"/>
      <c r="S17" s="45"/>
      <c r="T17" s="45"/>
      <c r="U17" s="45"/>
      <c r="V17" s="45"/>
    </row>
    <row r="18" spans="1:22" ht="24.6" customHeight="1" x14ac:dyDescent="0.25">
      <c r="A18" s="10" t="s">
        <v>71</v>
      </c>
      <c r="B18" s="22" t="str">
        <f t="shared" ca="1" si="0"/>
        <v>20-08-2026</v>
      </c>
      <c r="C18" s="22" t="str">
        <f>LEFT(Table1[[#This Row],[Product ID]],"2")</f>
        <v>20</v>
      </c>
      <c r="D18" s="22" t="str">
        <f>RIGHT(Table1[[#This Row],[Product ID]],"2")</f>
        <v>CN</v>
      </c>
      <c r="E18" s="19" t="s">
        <v>63</v>
      </c>
      <c r="F18" s="19" t="s">
        <v>72</v>
      </c>
      <c r="G18" s="20" t="str">
        <f>_xlfn.TEXTJOIN(" ",TRUE,Table1[[#This Row],[Product Name]],Table1[[#This Row],[Brand Name]])</f>
        <v>Smartwatch Huawei</v>
      </c>
      <c r="H18" s="16">
        <v>160</v>
      </c>
      <c r="I18" s="20">
        <f>IF(ISBLANK(Table1[[#This Row],[Price ($)]]),AVERAGE(Table1[Price ($)]),Table1[[#This Row],[Price ($)]])</f>
        <v>160</v>
      </c>
      <c r="J18" s="11">
        <v>15</v>
      </c>
      <c r="K18" s="28" t="s">
        <v>27</v>
      </c>
      <c r="N18" s="31" t="s">
        <v>112</v>
      </c>
      <c r="O18" s="44" t="s">
        <v>126</v>
      </c>
      <c r="P18" s="44"/>
      <c r="Q18" s="44"/>
      <c r="R18" s="44"/>
      <c r="S18" s="44"/>
      <c r="T18" s="44"/>
      <c r="U18" s="44"/>
      <c r="V18" s="44"/>
    </row>
    <row r="19" spans="1:22" ht="15.75" customHeight="1" x14ac:dyDescent="0.25">
      <c r="A19" s="12" t="s">
        <v>73</v>
      </c>
      <c r="B19" s="22" t="str">
        <f t="shared" ca="1" si="0"/>
        <v>27-01-2026</v>
      </c>
      <c r="C19" s="22" t="str">
        <f>LEFT(Table1[[#This Row],[Product ID]],"2")</f>
        <v>27</v>
      </c>
      <c r="D19" s="22" t="str">
        <f>RIGHT(Table1[[#This Row],[Product ID]],"2")</f>
        <v>IT</v>
      </c>
      <c r="E19" s="24" t="s">
        <v>57</v>
      </c>
      <c r="F19" s="24" t="s">
        <v>74</v>
      </c>
      <c r="G19" s="20" t="str">
        <f>_xlfn.TEXTJOIN(" ",TRUE,Table1[[#This Row],[Product Name]],Table1[[#This Row],[Brand Name]])</f>
        <v>Laptop Asus</v>
      </c>
      <c r="H19" s="17">
        <v>980</v>
      </c>
      <c r="I19" s="20">
        <f>IF(ISBLANK(Table1[[#This Row],[Price ($)]]),AVERAGE(Table1[Price ($)]),Table1[[#This Row],[Price ($)]])</f>
        <v>980</v>
      </c>
      <c r="J19" s="13">
        <v>10</v>
      </c>
      <c r="K19" s="28" t="s">
        <v>27</v>
      </c>
      <c r="N19" s="32" t="s">
        <v>113</v>
      </c>
      <c r="O19" s="46" t="s">
        <v>25</v>
      </c>
      <c r="P19" s="46"/>
      <c r="Q19" s="46" t="s">
        <v>123</v>
      </c>
      <c r="R19" s="46"/>
      <c r="S19" s="32" t="str">
        <f>LEFT(O19,"2")</f>
        <v>28</v>
      </c>
      <c r="T19" s="34" t="s">
        <v>25</v>
      </c>
      <c r="U19" s="34" t="s">
        <v>124</v>
      </c>
      <c r="V19" s="32" t="str">
        <f>RIGHT(T19,"2")</f>
        <v>US</v>
      </c>
    </row>
    <row r="20" spans="1:22" ht="15.75" customHeight="1" x14ac:dyDescent="0.25">
      <c r="A20" s="10" t="s">
        <v>75</v>
      </c>
      <c r="B20" s="22" t="str">
        <f t="shared" ca="1" si="0"/>
        <v>01-03-2026</v>
      </c>
      <c r="C20" s="22" t="str">
        <f>LEFT(Table1[[#This Row],[Product ID]],"2")</f>
        <v>01</v>
      </c>
      <c r="D20" s="22" t="str">
        <f>RIGHT(Table1[[#This Row],[Product ID]],"2")</f>
        <v>UK</v>
      </c>
      <c r="E20" s="19" t="s">
        <v>76</v>
      </c>
      <c r="F20" s="19" t="s">
        <v>77</v>
      </c>
      <c r="G20" s="20" t="str">
        <f>_xlfn.TEXTJOIN(" ",TRUE,Table1[[#This Row],[Product Name]],Table1[[#This Row],[Brand Name]])</f>
        <v>Sunglasses Oakley</v>
      </c>
      <c r="H20" s="16">
        <v>150</v>
      </c>
      <c r="I20" s="20">
        <f>IF(ISBLANK(Table1[[#This Row],[Price ($)]]),AVERAGE(Table1[Price ($)]),Table1[[#This Row],[Price ($)]])</f>
        <v>150</v>
      </c>
      <c r="J20" s="11">
        <v>15</v>
      </c>
      <c r="K20" s="28" t="s">
        <v>31</v>
      </c>
      <c r="N20" s="31" t="s">
        <v>112</v>
      </c>
      <c r="O20" s="38" t="s">
        <v>127</v>
      </c>
      <c r="P20" s="38"/>
      <c r="Q20" s="38"/>
      <c r="R20" s="38"/>
      <c r="S20" s="38"/>
      <c r="T20" s="38"/>
      <c r="U20" s="38"/>
      <c r="V20" s="38"/>
    </row>
    <row r="21" spans="1:22" ht="15.75" customHeight="1" x14ac:dyDescent="0.25">
      <c r="A21" s="12" t="s">
        <v>78</v>
      </c>
      <c r="B21" s="22" t="str">
        <f t="shared" ca="1" si="0"/>
        <v>14-08-2026</v>
      </c>
      <c r="C21" s="22" t="str">
        <f>LEFT(Table1[[#This Row],[Product ID]],"2")</f>
        <v>14</v>
      </c>
      <c r="D21" s="22" t="str">
        <f>RIGHT(Table1[[#This Row],[Product ID]],"2")</f>
        <v>US</v>
      </c>
      <c r="E21" s="24" t="s">
        <v>79</v>
      </c>
      <c r="F21" s="24" t="s">
        <v>80</v>
      </c>
      <c r="G21" s="20" t="str">
        <f>_xlfn.TEXTJOIN(" ",TRUE,Table1[[#This Row],[Product Name]],Table1[[#This Row],[Brand Name]])</f>
        <v>Camping Tent Coleman</v>
      </c>
      <c r="H21" s="17">
        <v>297.85714285714289</v>
      </c>
      <c r="I21" s="20">
        <f>IF(ISBLANK(Table1[[#This Row],[Price ($)]]),AVERAGE(Table1[Price ($)]),Table1[[#This Row],[Price ($)]])</f>
        <v>297.85714285714289</v>
      </c>
      <c r="J21" s="13">
        <v>10</v>
      </c>
      <c r="K21" s="29" t="s">
        <v>55</v>
      </c>
      <c r="N21" s="32" t="s">
        <v>113</v>
      </c>
      <c r="O21" s="35" t="s">
        <v>20</v>
      </c>
      <c r="P21" s="34" t="s">
        <v>57</v>
      </c>
      <c r="Q21" s="35" t="s">
        <v>21</v>
      </c>
      <c r="R21" s="34" t="s">
        <v>26</v>
      </c>
      <c r="S21" s="42" t="s">
        <v>128</v>
      </c>
      <c r="T21" s="42"/>
      <c r="U21" s="43" t="str">
        <f>_xlfn.TEXTJOIN(" ",TRUE,P21,R21,)</f>
        <v>Laptop Dell</v>
      </c>
      <c r="V21" s="43"/>
    </row>
    <row r="22" spans="1:22" ht="15.75" customHeight="1" x14ac:dyDescent="0.3">
      <c r="A22" s="10" t="s">
        <v>81</v>
      </c>
      <c r="B22" s="22" t="str">
        <f t="shared" ca="1" si="0"/>
        <v>14-05-2026</v>
      </c>
      <c r="C22" s="22" t="str">
        <f>LEFT(Table1[[#This Row],[Product ID]],"2")</f>
        <v>14</v>
      </c>
      <c r="D22" s="22" t="str">
        <f>RIGHT(Table1[[#This Row],[Product ID]],"2")</f>
        <v>RU</v>
      </c>
      <c r="E22" s="19" t="s">
        <v>82</v>
      </c>
      <c r="F22" s="19" t="s">
        <v>83</v>
      </c>
      <c r="G22" s="20" t="str">
        <f>_xlfn.TEXTJOIN(" ",TRUE,Table1[[#This Row],[Product Name]],Table1[[#This Row],[Brand Name]])</f>
        <v>Camera Nikon</v>
      </c>
      <c r="H22" s="16">
        <v>700</v>
      </c>
      <c r="I22" s="20">
        <f>IF(ISBLANK(Table1[[#This Row],[Price ($)]]),AVERAGE(Table1[Price ($)]),Table1[[#This Row],[Price ($)]])</f>
        <v>700</v>
      </c>
      <c r="J22" s="11">
        <v>50</v>
      </c>
      <c r="K22" s="28" t="s">
        <v>27</v>
      </c>
      <c r="N22" s="45" t="s">
        <v>129</v>
      </c>
      <c r="O22" s="45"/>
      <c r="P22" s="45"/>
      <c r="Q22" s="45"/>
      <c r="R22" s="45"/>
      <c r="S22" s="45"/>
      <c r="T22" s="45"/>
      <c r="U22" s="45"/>
      <c r="V22" s="45"/>
    </row>
    <row r="23" spans="1:22" ht="15.75" customHeight="1" x14ac:dyDescent="0.25">
      <c r="A23" s="12" t="s">
        <v>84</v>
      </c>
      <c r="B23" s="22" t="str">
        <f t="shared" ca="1" si="0"/>
        <v>09-01-2026</v>
      </c>
      <c r="C23" s="22" t="str">
        <f>LEFT(Table1[[#This Row],[Product ID]],"2")</f>
        <v>09</v>
      </c>
      <c r="D23" s="22" t="str">
        <f>RIGHT(Table1[[#This Row],[Product ID]],"2")</f>
        <v>CA</v>
      </c>
      <c r="E23" s="24" t="s">
        <v>85</v>
      </c>
      <c r="F23" s="24" t="s">
        <v>86</v>
      </c>
      <c r="G23" s="20" t="str">
        <f>_xlfn.TEXTJOIN(" ",TRUE,Table1[[#This Row],[Product Name]],Table1[[#This Row],[Brand Name]])</f>
        <v>Microwave Panasonic</v>
      </c>
      <c r="H23" s="17">
        <v>80</v>
      </c>
      <c r="I23" s="20">
        <f>IF(ISBLANK(Table1[[#This Row],[Price ($)]]),AVERAGE(Table1[Price ($)]),Table1[[#This Row],[Price ($)]])</f>
        <v>80</v>
      </c>
      <c r="J23" s="13">
        <v>20</v>
      </c>
      <c r="K23" s="29" t="s">
        <v>35</v>
      </c>
      <c r="N23" s="31" t="s">
        <v>112</v>
      </c>
      <c r="O23" s="38" t="s">
        <v>130</v>
      </c>
      <c r="P23" s="38"/>
      <c r="Q23" s="38"/>
      <c r="R23" s="38"/>
      <c r="S23" s="38"/>
      <c r="T23" s="38"/>
      <c r="U23" s="38"/>
      <c r="V23" s="38"/>
    </row>
    <row r="24" spans="1:22" ht="15.75" customHeight="1" x14ac:dyDescent="0.25">
      <c r="A24" s="10" t="s">
        <v>87</v>
      </c>
      <c r="B24" s="22" t="str">
        <f t="shared" ca="1" si="0"/>
        <v>19-07-2026</v>
      </c>
      <c r="C24" s="22" t="str">
        <f>LEFT(Table1[[#This Row],[Product ID]],"2")</f>
        <v>19</v>
      </c>
      <c r="D24" s="22" t="str">
        <f>RIGHT(Table1[[#This Row],[Product ID]],"2")</f>
        <v>BR</v>
      </c>
      <c r="E24" s="19" t="s">
        <v>88</v>
      </c>
      <c r="F24" s="19" t="s">
        <v>89</v>
      </c>
      <c r="G24" s="20" t="str">
        <f>_xlfn.TEXTJOIN(" ",TRUE,Table1[[#This Row],[Product Name]],Table1[[#This Row],[Brand Name]])</f>
        <v>Fitness Tracker Xiaomi</v>
      </c>
      <c r="H24" s="16">
        <v>150</v>
      </c>
      <c r="I24" s="20">
        <f>IF(ISBLANK(Table1[[#This Row],[Price ($)]]),AVERAGE(Table1[Price ($)]),Table1[[#This Row],[Price ($)]])</f>
        <v>150</v>
      </c>
      <c r="J24" s="11">
        <v>30</v>
      </c>
      <c r="K24" s="28" t="s">
        <v>27</v>
      </c>
      <c r="N24" s="32" t="s">
        <v>113</v>
      </c>
      <c r="O24" s="49" t="s">
        <v>132</v>
      </c>
      <c r="P24" s="49"/>
      <c r="Q24" s="49">
        <v>1000</v>
      </c>
      <c r="R24" s="49"/>
      <c r="S24" s="50" t="s">
        <v>132</v>
      </c>
      <c r="T24" s="50"/>
      <c r="U24" s="51">
        <v>1000</v>
      </c>
      <c r="V24" s="51"/>
    </row>
    <row r="25" spans="1:22" ht="15.75" customHeight="1" x14ac:dyDescent="0.25">
      <c r="A25" s="10" t="s">
        <v>90</v>
      </c>
      <c r="B25" s="22" t="str">
        <f t="shared" ca="1" si="0"/>
        <v>29-09-2026</v>
      </c>
      <c r="C25" s="22" t="str">
        <f>LEFT(Table1[[#This Row],[Product ID]],"2")</f>
        <v>29</v>
      </c>
      <c r="D25" s="22" t="str">
        <f>RIGHT(Table1[[#This Row],[Product ID]],"2")</f>
        <v>CA</v>
      </c>
      <c r="E25" s="19" t="s">
        <v>91</v>
      </c>
      <c r="F25" s="19" t="s">
        <v>92</v>
      </c>
      <c r="G25" s="20" t="str">
        <f>_xlfn.TEXTJOIN(" ",TRUE,Table1[[#This Row],[Product Name]],Table1[[#This Row],[Brand Name]])</f>
        <v>Smartphone Google</v>
      </c>
      <c r="H25" s="16">
        <v>800</v>
      </c>
      <c r="I25" s="20">
        <f>IF(ISBLANK(Table1[[#This Row],[Price ($)]]),AVERAGE(Table1[Price ($)]),Table1[[#This Row],[Price ($)]])</f>
        <v>800</v>
      </c>
      <c r="J25" s="11">
        <v>45</v>
      </c>
      <c r="K25" s="28" t="s">
        <v>27</v>
      </c>
      <c r="N25" s="31" t="s">
        <v>112</v>
      </c>
      <c r="O25" s="38" t="s">
        <v>133</v>
      </c>
      <c r="P25" s="38"/>
      <c r="Q25" s="38"/>
      <c r="R25" s="38"/>
      <c r="S25" s="38"/>
      <c r="T25" s="38"/>
      <c r="U25" s="38"/>
      <c r="V25" s="38"/>
    </row>
    <row r="26" spans="1:22" ht="15.75" customHeight="1" x14ac:dyDescent="0.25">
      <c r="A26" s="12" t="s">
        <v>93</v>
      </c>
      <c r="B26" s="22" t="str">
        <f t="shared" ca="1" si="0"/>
        <v>03-06-2026</v>
      </c>
      <c r="C26" s="22" t="str">
        <f>LEFT(Table1[[#This Row],[Product ID]],"2")</f>
        <v>03</v>
      </c>
      <c r="D26" s="22" t="str">
        <f>RIGHT(Table1[[#This Row],[Product ID]],"2")</f>
        <v>CA</v>
      </c>
      <c r="E26" s="24" t="s">
        <v>76</v>
      </c>
      <c r="F26" s="24" t="s">
        <v>94</v>
      </c>
      <c r="G26" s="20" t="str">
        <f>_xlfn.TEXTJOIN(" ",TRUE,Table1[[#This Row],[Product Name]],Table1[[#This Row],[Brand Name]])</f>
        <v>Sunglasses Ray-Ban</v>
      </c>
      <c r="H26" s="17">
        <v>297.85714285714289</v>
      </c>
      <c r="I26" s="20">
        <f>IF(ISBLANK(Table1[[#This Row],[Price ($)]]),AVERAGE(Table1[Price ($)]),Table1[[#This Row],[Price ($)]])</f>
        <v>297.85714285714289</v>
      </c>
      <c r="J26" s="13">
        <v>25</v>
      </c>
      <c r="K26" s="29" t="s">
        <v>31</v>
      </c>
      <c r="N26" s="32" t="s">
        <v>113</v>
      </c>
      <c r="O26" s="49" t="s">
        <v>123</v>
      </c>
      <c r="P26" s="49"/>
      <c r="Q26" s="52" t="s">
        <v>25</v>
      </c>
      <c r="R26" s="49"/>
      <c r="S26" s="50" t="s">
        <v>135</v>
      </c>
      <c r="T26" s="50"/>
      <c r="U26" s="50" t="str">
        <f ca="1">TEXT(DATE(YEAR(TODAY()),MONTH(DATEVALUE("1-"&amp;MID(A2,4,3))),LEFT(A2,2)),"DD-MM-YYYY")</f>
        <v>28-01-2026</v>
      </c>
      <c r="V26" s="50"/>
    </row>
    <row r="27" spans="1:22" ht="15.75" customHeight="1" x14ac:dyDescent="0.3">
      <c r="A27" s="10" t="s">
        <v>95</v>
      </c>
      <c r="B27" s="22" t="str">
        <f t="shared" ca="1" si="0"/>
        <v>11-07-2026</v>
      </c>
      <c r="C27" s="22" t="str">
        <f>LEFT(Table1[[#This Row],[Product ID]],"2")</f>
        <v>11</v>
      </c>
      <c r="D27" s="22" t="str">
        <f>RIGHT(Table1[[#This Row],[Product ID]],"2")</f>
        <v>CA</v>
      </c>
      <c r="E27" s="19" t="s">
        <v>47</v>
      </c>
      <c r="F27" s="19" t="s">
        <v>96</v>
      </c>
      <c r="G27" s="20" t="str">
        <f>_xlfn.TEXTJOIN(" ",TRUE,Table1[[#This Row],[Product Name]],Table1[[#This Row],[Brand Name]])</f>
        <v>Blender Vitamix</v>
      </c>
      <c r="H27" s="16">
        <v>400</v>
      </c>
      <c r="I27" s="20">
        <f>IF(ISBLANK(Table1[[#This Row],[Price ($)]]),AVERAGE(Table1[Price ($)]),Table1[[#This Row],[Price ($)]])</f>
        <v>400</v>
      </c>
      <c r="J27" s="11">
        <v>40</v>
      </c>
      <c r="K27" s="28" t="s">
        <v>35</v>
      </c>
      <c r="N27" s="45" t="s">
        <v>136</v>
      </c>
      <c r="O27" s="45"/>
      <c r="P27" s="45"/>
      <c r="Q27" s="45"/>
      <c r="R27" s="45"/>
      <c r="S27" s="45"/>
      <c r="T27" s="45"/>
      <c r="U27" s="45"/>
      <c r="V27" s="45"/>
    </row>
    <row r="28" spans="1:22" ht="15.75" customHeight="1" x14ac:dyDescent="0.25">
      <c r="A28" s="10" t="s">
        <v>97</v>
      </c>
      <c r="B28" s="22" t="str">
        <f t="shared" ca="1" si="0"/>
        <v>07-03-2026</v>
      </c>
      <c r="C28" s="22" t="str">
        <f>LEFT(Table1[[#This Row],[Product ID]],"2")</f>
        <v>07</v>
      </c>
      <c r="D28" s="22" t="str">
        <f>RIGHT(Table1[[#This Row],[Product ID]],"2")</f>
        <v>CA</v>
      </c>
      <c r="E28" s="19" t="s">
        <v>98</v>
      </c>
      <c r="F28" s="19" t="s">
        <v>99</v>
      </c>
      <c r="G28" s="20" t="str">
        <f>_xlfn.TEXTJOIN(" ",TRUE,Table1[[#This Row],[Product Name]],Table1[[#This Row],[Brand Name]])</f>
        <v>Dress Zara</v>
      </c>
      <c r="H28" s="16">
        <v>60</v>
      </c>
      <c r="I28" s="20">
        <f>IF(ISBLANK(Table1[[#This Row],[Price ($)]]),AVERAGE(Table1[Price ($)]),Table1[[#This Row],[Price ($)]])</f>
        <v>60</v>
      </c>
      <c r="J28" s="11">
        <v>30</v>
      </c>
      <c r="K28" s="28" t="s">
        <v>31</v>
      </c>
      <c r="N28" s="31" t="s">
        <v>112</v>
      </c>
      <c r="O28" s="38" t="s">
        <v>137</v>
      </c>
      <c r="P28" s="38"/>
      <c r="Q28" s="38"/>
      <c r="R28" s="38"/>
      <c r="S28" s="38"/>
      <c r="T28" s="38"/>
      <c r="U28" s="38"/>
      <c r="V28" s="38"/>
    </row>
    <row r="29" spans="1:22" ht="15.75" customHeight="1" x14ac:dyDescent="0.25">
      <c r="A29" s="12" t="s">
        <v>100</v>
      </c>
      <c r="B29" s="22" t="str">
        <f t="shared" ca="1" si="0"/>
        <v>13-04-2026</v>
      </c>
      <c r="C29" s="22" t="str">
        <f>LEFT(Table1[[#This Row],[Product ID]],"2")</f>
        <v>13</v>
      </c>
      <c r="D29" s="22" t="str">
        <f>RIGHT(Table1[[#This Row],[Product ID]],"2")</f>
        <v>CA</v>
      </c>
      <c r="E29" s="24" t="s">
        <v>101</v>
      </c>
      <c r="F29" s="24" t="s">
        <v>102</v>
      </c>
      <c r="G29" s="20" t="str">
        <f>_xlfn.TEXTJOIN(" ",TRUE,Table1[[#This Row],[Product Name]],Table1[[#This Row],[Brand Name]])</f>
        <v>Toaster Hamilton</v>
      </c>
      <c r="H29" s="17">
        <v>40</v>
      </c>
      <c r="I29" s="20">
        <f>IF(ISBLANK(Table1[[#This Row],[Price ($)]]),AVERAGE(Table1[Price ($)]),Table1[[#This Row],[Price ($)]])</f>
        <v>40</v>
      </c>
      <c r="J29" s="13">
        <v>10</v>
      </c>
      <c r="K29" s="29" t="s">
        <v>35</v>
      </c>
      <c r="N29" s="32" t="s">
        <v>113</v>
      </c>
      <c r="O29" s="49" t="s">
        <v>132</v>
      </c>
      <c r="P29" s="49"/>
      <c r="Q29" s="49">
        <v>1000</v>
      </c>
      <c r="R29" s="49"/>
      <c r="S29" s="50" t="s">
        <v>132</v>
      </c>
      <c r="T29" s="50"/>
      <c r="U29" s="51">
        <v>1000</v>
      </c>
      <c r="V29" s="51"/>
    </row>
    <row r="30" spans="1:22" ht="15.75" customHeight="1" x14ac:dyDescent="0.25">
      <c r="A30" s="10" t="s">
        <v>103</v>
      </c>
      <c r="B30" s="22" t="str">
        <f t="shared" ca="1" si="0"/>
        <v>24-05-2026</v>
      </c>
      <c r="C30" s="22" t="str">
        <f>LEFT(Table1[[#This Row],[Product ID]],"2")</f>
        <v>24</v>
      </c>
      <c r="D30" s="22" t="str">
        <f>RIGHT(Table1[[#This Row],[Product ID]],"2")</f>
        <v>CA</v>
      </c>
      <c r="E30" s="19" t="s">
        <v>88</v>
      </c>
      <c r="F30" s="19" t="s">
        <v>104</v>
      </c>
      <c r="G30" s="20" t="str">
        <f>_xlfn.TEXTJOIN(" ",TRUE,Table1[[#This Row],[Product Name]],Table1[[#This Row],[Brand Name]])</f>
        <v>Fitness Tracker Garmin</v>
      </c>
      <c r="H30" s="16">
        <v>130</v>
      </c>
      <c r="I30" s="20">
        <f>IF(ISBLANK(Table1[[#This Row],[Price ($)]]),AVERAGE(Table1[Price ($)]),Table1[[#This Row],[Price ($)]])</f>
        <v>130</v>
      </c>
      <c r="J30" s="11">
        <v>5</v>
      </c>
      <c r="K30" s="28" t="s">
        <v>27</v>
      </c>
      <c r="N30" s="31" t="s">
        <v>112</v>
      </c>
      <c r="O30" s="38" t="s">
        <v>138</v>
      </c>
      <c r="P30" s="38"/>
      <c r="Q30" s="38"/>
      <c r="R30" s="38"/>
      <c r="S30" s="38"/>
      <c r="T30" s="38"/>
      <c r="U30" s="38"/>
      <c r="V30" s="38"/>
    </row>
    <row r="31" spans="1:22" ht="15.75" customHeight="1" x14ac:dyDescent="0.25">
      <c r="A31" s="12" t="s">
        <v>105</v>
      </c>
      <c r="B31" s="22" t="str">
        <f t="shared" ca="1" si="0"/>
        <v>02-12-2026</v>
      </c>
      <c r="C31" s="22" t="str">
        <f>LEFT(Table1[[#This Row],[Product ID]],"2")</f>
        <v>02</v>
      </c>
      <c r="D31" s="22" t="str">
        <f>RIGHT(Table1[[#This Row],[Product ID]],"2")</f>
        <v>CA</v>
      </c>
      <c r="E31" s="24" t="s">
        <v>106</v>
      </c>
      <c r="F31" s="24" t="s">
        <v>107</v>
      </c>
      <c r="G31" s="20" t="str">
        <f>_xlfn.TEXTJOIN(" ",TRUE,Table1[[#This Row],[Product Name]],Table1[[#This Row],[Brand Name]])</f>
        <v>Jeans Levi's</v>
      </c>
      <c r="H31" s="17">
        <v>50</v>
      </c>
      <c r="I31" s="20">
        <f>IF(ISBLANK(Table1[[#This Row],[Price ($)]]),AVERAGE(Table1[Price ($)]),Table1[[#This Row],[Price ($)]])</f>
        <v>50</v>
      </c>
      <c r="J31" s="13">
        <v>50</v>
      </c>
      <c r="K31" s="29" t="s">
        <v>31</v>
      </c>
      <c r="N31" s="32" t="s">
        <v>113</v>
      </c>
      <c r="O31" s="39" t="s">
        <v>24</v>
      </c>
      <c r="P31" s="39"/>
      <c r="Q31" s="39" t="s">
        <v>27</v>
      </c>
      <c r="R31" s="39"/>
      <c r="S31" s="39" t="s">
        <v>24</v>
      </c>
      <c r="T31" s="39"/>
      <c r="U31" s="39" t="s">
        <v>27</v>
      </c>
      <c r="V31" s="39"/>
    </row>
    <row r="32" spans="1:22" ht="15.75" customHeight="1" x14ac:dyDescent="0.25">
      <c r="A32" s="14" t="s">
        <v>108</v>
      </c>
      <c r="B32" s="23" t="str">
        <f t="shared" ca="1" si="0"/>
        <v>09-07-2026</v>
      </c>
      <c r="C32" s="23" t="str">
        <f>LEFT(Table1[[#This Row],[Product ID]],"2")</f>
        <v>09</v>
      </c>
      <c r="D32" s="23" t="str">
        <f>RIGHT(Table1[[#This Row],[Product ID]],"2")</f>
        <v>FR</v>
      </c>
      <c r="E32" s="25" t="s">
        <v>109</v>
      </c>
      <c r="F32" s="25" t="s">
        <v>110</v>
      </c>
      <c r="G32" s="21" t="str">
        <f>_xlfn.TEXTJOIN(" ",TRUE,Table1[[#This Row],[Product Name]],Table1[[#This Row],[Brand Name]])</f>
        <v>Watch Casio</v>
      </c>
      <c r="H32" s="18">
        <v>100</v>
      </c>
      <c r="I32" s="21">
        <f>IF(ISBLANK(Table1[[#This Row],[Price ($)]]),AVERAGE(Table1[Price ($)]),Table1[[#This Row],[Price ($)]])</f>
        <v>100</v>
      </c>
      <c r="J32" s="15">
        <v>20</v>
      </c>
      <c r="K32" s="30" t="s">
        <v>70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8">
    <mergeCell ref="O30:V30"/>
    <mergeCell ref="O31:P31"/>
    <mergeCell ref="Q31:R31"/>
    <mergeCell ref="S31:T31"/>
    <mergeCell ref="U31:V31"/>
    <mergeCell ref="N27:V27"/>
    <mergeCell ref="O28:V28"/>
    <mergeCell ref="O29:P29"/>
    <mergeCell ref="Q29:R29"/>
    <mergeCell ref="S29:T29"/>
    <mergeCell ref="U29:V29"/>
    <mergeCell ref="O25:V25"/>
    <mergeCell ref="O26:P26"/>
    <mergeCell ref="Q26:R26"/>
    <mergeCell ref="S26:T26"/>
    <mergeCell ref="U26:V26"/>
    <mergeCell ref="N22:V22"/>
    <mergeCell ref="O23:V23"/>
    <mergeCell ref="O24:P24"/>
    <mergeCell ref="Q24:R24"/>
    <mergeCell ref="S24:T24"/>
    <mergeCell ref="U24:V24"/>
    <mergeCell ref="O20:V20"/>
    <mergeCell ref="S21:T21"/>
    <mergeCell ref="U21:V21"/>
    <mergeCell ref="O11:V11"/>
    <mergeCell ref="O14:V14"/>
    <mergeCell ref="N17:V17"/>
    <mergeCell ref="O18:V18"/>
    <mergeCell ref="O19:P19"/>
    <mergeCell ref="Q19:R19"/>
    <mergeCell ref="O15:S16"/>
    <mergeCell ref="T15:V16"/>
    <mergeCell ref="N13:V13"/>
    <mergeCell ref="N15:N16"/>
    <mergeCell ref="O9:V9"/>
    <mergeCell ref="O10:R10"/>
    <mergeCell ref="S10:V10"/>
    <mergeCell ref="O12:U12"/>
    <mergeCell ref="N6:V6"/>
    <mergeCell ref="O7:V7"/>
    <mergeCell ref="S8:V8"/>
    <mergeCell ref="O8:R8"/>
    <mergeCell ref="N1:V1"/>
    <mergeCell ref="O3:V3"/>
    <mergeCell ref="O4:V4"/>
    <mergeCell ref="O5:V5"/>
    <mergeCell ref="O2:V2"/>
  </mergeCells>
  <phoneticPr fontId="10" type="noConversion"/>
  <conditionalFormatting sqref="A2:A32">
    <cfRule type="duplicateValues" dxfId="3" priority="11"/>
  </conditionalFormatting>
  <conditionalFormatting sqref="H1:H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ntainsText" dxfId="2" priority="4" operator="containsText" text="Electronics">
      <formula>NOT(ISERROR(SEARCH("Electronics",K1)))</formula>
    </cfRule>
  </conditionalFormatting>
  <conditionalFormatting sqref="O31 S31">
    <cfRule type="containsText" dxfId="1" priority="5" operator="containsText" text="Electronics">
      <formula>NOT(ISERROR(SEARCH("Electronics",O31)))</formula>
    </cfRule>
  </conditionalFormatting>
  <conditionalFormatting sqref="U29:V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1:V31">
    <cfRule type="containsText" dxfId="0" priority="3" operator="containsText" text="Electronics">
      <formula>NOT(ISERROR(SEARCH("Electronics",U31)))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NIVETHADEVI AMIRTHARAJ</cp:lastModifiedBy>
  <cp:lastPrinted>2026-09-30T18:00:44Z</cp:lastPrinted>
  <dcterms:modified xsi:type="dcterms:W3CDTF">2026-09-30T18:10:14Z</dcterms:modified>
</cp:coreProperties>
</file>